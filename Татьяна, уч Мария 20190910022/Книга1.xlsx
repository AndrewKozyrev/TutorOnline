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atiananilova/Desktop/"/>
    </mc:Choice>
  </mc:AlternateContent>
  <xr:revisionPtr revIDLastSave="0" documentId="8_{E15E1E53-55E0-9C4C-AB9C-1FD4F74A4FD4}" xr6:coauthVersionLast="36" xr6:coauthVersionMax="36" xr10:uidLastSave="{00000000-0000-0000-0000-000000000000}"/>
  <bookViews>
    <workbookView xWindow="320" yWindow="460" windowWidth="24940" windowHeight="14440" xr2:uid="{7CD7A9AD-1068-0346-B889-5C6410FA7DE0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21" i="1" l="1"/>
  <c r="B121" i="1"/>
  <c r="C122" i="1"/>
  <c r="B4" i="1"/>
  <c r="B3" i="1"/>
  <c r="C2" i="1"/>
  <c r="C3" i="1"/>
  <c r="C4" i="1" s="1"/>
  <c r="B2" i="1"/>
  <c r="C1" i="1"/>
  <c r="B1" i="1"/>
  <c r="D2" i="1"/>
  <c r="D1" i="1"/>
  <c r="A3" i="1"/>
  <c r="A4" i="1"/>
  <c r="A5" i="1"/>
  <c r="A6" i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2" i="1"/>
  <c r="D3" i="1" l="1"/>
  <c r="D4" i="1" l="1"/>
  <c r="B5" i="1" s="1"/>
  <c r="C5" i="1" s="1"/>
  <c r="D5" i="1" l="1"/>
  <c r="B6" i="1" s="1"/>
  <c r="C6" i="1" s="1"/>
  <c r="D6" i="1" l="1"/>
  <c r="B7" i="1" l="1"/>
  <c r="C7" i="1" s="1"/>
  <c r="D7" i="1" l="1"/>
  <c r="B8" i="1" l="1"/>
  <c r="C8" i="1" s="1"/>
  <c r="D8" i="1"/>
  <c r="B9" i="1" l="1"/>
  <c r="C9" i="1" s="1"/>
  <c r="D9" i="1" l="1"/>
  <c r="B10" i="1" l="1"/>
  <c r="C10" i="1" s="1"/>
  <c r="D10" i="1"/>
  <c r="B11" i="1" l="1"/>
  <c r="C11" i="1" s="1"/>
  <c r="D11" i="1" l="1"/>
  <c r="B12" i="1" l="1"/>
  <c r="C12" i="1" s="1"/>
  <c r="D12" i="1"/>
  <c r="B13" i="1" l="1"/>
  <c r="C13" i="1" s="1"/>
  <c r="D13" i="1" l="1"/>
  <c r="B14" i="1" l="1"/>
  <c r="C14" i="1" s="1"/>
  <c r="D14" i="1"/>
  <c r="B15" i="1" l="1"/>
  <c r="C15" i="1" s="1"/>
  <c r="D15" i="1" l="1"/>
  <c r="B16" i="1" l="1"/>
  <c r="C16" i="1" s="1"/>
  <c r="D16" i="1"/>
  <c r="B17" i="1" l="1"/>
  <c r="C17" i="1" s="1"/>
  <c r="D17" i="1" l="1"/>
  <c r="B18" i="1" l="1"/>
  <c r="C18" i="1" s="1"/>
  <c r="D18" i="1"/>
  <c r="B19" i="1" l="1"/>
  <c r="C19" i="1" s="1"/>
  <c r="D19" i="1" l="1"/>
  <c r="B20" i="1" l="1"/>
  <c r="C20" i="1" s="1"/>
  <c r="D20" i="1"/>
  <c r="B21" i="1" l="1"/>
  <c r="C21" i="1" s="1"/>
  <c r="D21" i="1" l="1"/>
  <c r="B22" i="1" l="1"/>
  <c r="C22" i="1" s="1"/>
  <c r="D22" i="1"/>
  <c r="B23" i="1" l="1"/>
  <c r="C23" i="1"/>
  <c r="D23" i="1" l="1"/>
  <c r="B24" i="1" l="1"/>
  <c r="C24" i="1" s="1"/>
  <c r="D24" i="1"/>
  <c r="B25" i="1" l="1"/>
  <c r="C25" i="1" s="1"/>
  <c r="D25" i="1" l="1"/>
  <c r="B26" i="1" l="1"/>
  <c r="C26" i="1" s="1"/>
  <c r="D26" i="1"/>
  <c r="B27" i="1" l="1"/>
  <c r="C27" i="1" s="1"/>
  <c r="D27" i="1" l="1"/>
  <c r="B28" i="1" l="1"/>
  <c r="C28" i="1" s="1"/>
  <c r="D28" i="1"/>
  <c r="B29" i="1" l="1"/>
  <c r="C29" i="1" s="1"/>
  <c r="D29" i="1" l="1"/>
  <c r="B30" i="1" l="1"/>
  <c r="C30" i="1" s="1"/>
  <c r="D30" i="1" s="1"/>
  <c r="B31" i="1" l="1"/>
  <c r="C31" i="1"/>
  <c r="D31" i="1" l="1"/>
  <c r="B32" i="1" l="1"/>
  <c r="C32" i="1" s="1"/>
  <c r="D32" i="1"/>
  <c r="B33" i="1" l="1"/>
  <c r="C33" i="1" s="1"/>
  <c r="D33" i="1" l="1"/>
  <c r="B34" i="1" l="1"/>
  <c r="C34" i="1" s="1"/>
  <c r="D34" i="1" s="1"/>
  <c r="B35" i="1" l="1"/>
  <c r="C35" i="1" s="1"/>
  <c r="D35" i="1" l="1"/>
  <c r="B36" i="1" l="1"/>
  <c r="C36" i="1" s="1"/>
  <c r="D36" i="1"/>
  <c r="B37" i="1" l="1"/>
  <c r="C37" i="1"/>
  <c r="D37" i="1" l="1"/>
  <c r="B38" i="1" l="1"/>
  <c r="C38" i="1" s="1"/>
  <c r="D38" i="1"/>
  <c r="B39" i="1" l="1"/>
  <c r="C39" i="1" s="1"/>
  <c r="D39" i="1" l="1"/>
  <c r="B40" i="1" l="1"/>
  <c r="C40" i="1" s="1"/>
  <c r="D40" i="1"/>
  <c r="B41" i="1" l="1"/>
  <c r="C41" i="1"/>
  <c r="D41" i="1" l="1"/>
  <c r="B42" i="1" l="1"/>
  <c r="C42" i="1" s="1"/>
  <c r="D42" i="1"/>
  <c r="B43" i="1" l="1"/>
  <c r="C43" i="1" s="1"/>
  <c r="D43" i="1" l="1"/>
  <c r="B44" i="1" l="1"/>
  <c r="C44" i="1" s="1"/>
  <c r="D44" i="1" s="1"/>
  <c r="B45" i="1" l="1"/>
  <c r="C45" i="1" s="1"/>
  <c r="D45" i="1" l="1"/>
  <c r="B46" i="1" l="1"/>
  <c r="C46" i="1" s="1"/>
  <c r="D46" i="1"/>
  <c r="B47" i="1" l="1"/>
  <c r="C47" i="1" s="1"/>
  <c r="D47" i="1" l="1"/>
  <c r="B48" i="1" l="1"/>
  <c r="C48" i="1" s="1"/>
  <c r="D48" i="1"/>
  <c r="B49" i="1" l="1"/>
  <c r="C49" i="1"/>
  <c r="D49" i="1" l="1"/>
  <c r="B50" i="1" l="1"/>
  <c r="C50" i="1" s="1"/>
  <c r="D50" i="1"/>
  <c r="B51" i="1" l="1"/>
  <c r="C51" i="1"/>
  <c r="D51" i="1" l="1"/>
  <c r="B52" i="1" l="1"/>
  <c r="C52" i="1" s="1"/>
  <c r="D52" i="1"/>
  <c r="B53" i="1" l="1"/>
  <c r="C53" i="1" s="1"/>
  <c r="D53" i="1" l="1"/>
  <c r="B54" i="1" l="1"/>
  <c r="C54" i="1" s="1"/>
  <c r="D54" i="1" s="1"/>
  <c r="B55" i="1" l="1"/>
  <c r="C55" i="1" s="1"/>
  <c r="D55" i="1" l="1"/>
  <c r="B56" i="1" l="1"/>
  <c r="C56" i="1" s="1"/>
  <c r="D56" i="1" l="1"/>
  <c r="B57" i="1" l="1"/>
  <c r="C57" i="1" s="1"/>
  <c r="D57" i="1"/>
  <c r="B58" i="1" l="1"/>
  <c r="D58" i="1"/>
  <c r="C58" i="1"/>
  <c r="B59" i="1" l="1"/>
  <c r="C59" i="1" s="1"/>
  <c r="D59" i="1" l="1"/>
  <c r="B60" i="1" l="1"/>
  <c r="C60" i="1" s="1"/>
  <c r="D60" i="1" s="1"/>
  <c r="B61" i="1" l="1"/>
  <c r="C61" i="1"/>
  <c r="D61" i="1" l="1"/>
  <c r="B62" i="1" l="1"/>
  <c r="C62" i="1" s="1"/>
  <c r="D62" i="1"/>
  <c r="B63" i="1" l="1"/>
  <c r="C63" i="1" s="1"/>
  <c r="D63" i="1" l="1"/>
  <c r="B64" i="1" l="1"/>
  <c r="C64" i="1" s="1"/>
  <c r="D64" i="1" s="1"/>
  <c r="B65" i="1" l="1"/>
  <c r="C65" i="1" s="1"/>
  <c r="D65" i="1" l="1"/>
  <c r="B66" i="1" l="1"/>
  <c r="C66" i="1" s="1"/>
  <c r="D66" i="1"/>
  <c r="B67" i="1" l="1"/>
  <c r="C67" i="1" s="1"/>
  <c r="D67" i="1" l="1"/>
  <c r="B68" i="1" l="1"/>
  <c r="C68" i="1" s="1"/>
  <c r="D68" i="1"/>
  <c r="B69" i="1" l="1"/>
  <c r="C69" i="1" s="1"/>
  <c r="D69" i="1" l="1"/>
  <c r="B70" i="1" l="1"/>
  <c r="C70" i="1" s="1"/>
  <c r="D70" i="1" l="1"/>
  <c r="B71" i="1" l="1"/>
  <c r="C71" i="1" s="1"/>
  <c r="D71" i="1" l="1"/>
  <c r="B72" i="1" l="1"/>
  <c r="C72" i="1" s="1"/>
  <c r="D72" i="1"/>
  <c r="B73" i="1" l="1"/>
  <c r="C73" i="1"/>
  <c r="D73" i="1" l="1"/>
  <c r="B74" i="1" l="1"/>
  <c r="C74" i="1" s="1"/>
  <c r="D74" i="1" l="1"/>
  <c r="B75" i="1" l="1"/>
  <c r="C75" i="1" s="1"/>
  <c r="D75" i="1" s="1"/>
  <c r="B76" i="1" l="1"/>
  <c r="C76" i="1" s="1"/>
  <c r="D76" i="1" l="1"/>
  <c r="B77" i="1" l="1"/>
  <c r="C77" i="1" s="1"/>
  <c r="D77" i="1" s="1"/>
  <c r="B78" i="1" l="1"/>
  <c r="C78" i="1" s="1"/>
  <c r="D78" i="1" l="1"/>
  <c r="B79" i="1" l="1"/>
  <c r="C79" i="1" s="1"/>
  <c r="D79" i="1"/>
  <c r="B80" i="1" l="1"/>
  <c r="C80" i="1" s="1"/>
  <c r="D80" i="1" l="1"/>
  <c r="B81" i="1" l="1"/>
  <c r="C81" i="1" s="1"/>
  <c r="D81" i="1" s="1"/>
  <c r="B82" i="1" l="1"/>
  <c r="C82" i="1"/>
  <c r="D82" i="1" l="1"/>
  <c r="B83" i="1" l="1"/>
  <c r="C83" i="1" s="1"/>
  <c r="D83" i="1"/>
  <c r="B84" i="1" l="1"/>
  <c r="D84" i="1"/>
  <c r="C84" i="1"/>
  <c r="B85" i="1" l="1"/>
  <c r="C85" i="1"/>
  <c r="D85" i="1" l="1"/>
  <c r="B86" i="1" l="1"/>
  <c r="C86" i="1" s="1"/>
  <c r="D86" i="1"/>
  <c r="B87" i="1" l="1"/>
  <c r="D87" i="1"/>
  <c r="C87" i="1"/>
  <c r="B88" i="1" l="1"/>
  <c r="C88" i="1"/>
  <c r="D88" i="1" l="1"/>
  <c r="B89" i="1" l="1"/>
  <c r="C89" i="1" s="1"/>
  <c r="D89" i="1"/>
  <c r="B90" i="1" l="1"/>
  <c r="C90" i="1" s="1"/>
  <c r="D90" i="1" l="1"/>
  <c r="B91" i="1" l="1"/>
  <c r="C91" i="1" s="1"/>
  <c r="D91" i="1" s="1"/>
  <c r="B92" i="1" l="1"/>
  <c r="D92" i="1"/>
  <c r="C92" i="1"/>
  <c r="B93" i="1" l="1"/>
  <c r="C93" i="1" s="1"/>
  <c r="D93" i="1" l="1"/>
  <c r="B94" i="1" l="1"/>
  <c r="C94" i="1" s="1"/>
  <c r="D94" i="1" l="1"/>
  <c r="B95" i="1" l="1"/>
  <c r="C95" i="1" s="1"/>
  <c r="D95" i="1"/>
  <c r="B96" i="1" l="1"/>
  <c r="C96" i="1" s="1"/>
  <c r="D96" i="1" l="1"/>
  <c r="B97" i="1" l="1"/>
  <c r="C97" i="1" s="1"/>
  <c r="D97" i="1"/>
  <c r="B98" i="1" l="1"/>
  <c r="C98" i="1" s="1"/>
  <c r="D98" i="1" l="1"/>
  <c r="B99" i="1" l="1"/>
  <c r="C99" i="1" s="1"/>
  <c r="D99" i="1"/>
  <c r="B100" i="1" l="1"/>
  <c r="C100" i="1" s="1"/>
  <c r="D100" i="1" l="1"/>
  <c r="B101" i="1" l="1"/>
  <c r="C101" i="1" s="1"/>
  <c r="D101" i="1" l="1"/>
  <c r="B102" i="1" l="1"/>
  <c r="C102" i="1" s="1"/>
  <c r="D102" i="1"/>
  <c r="B103" i="1" l="1"/>
  <c r="C103" i="1"/>
  <c r="D103" i="1" l="1"/>
  <c r="B104" i="1" l="1"/>
  <c r="C104" i="1" s="1"/>
  <c r="D104" i="1"/>
  <c r="B105" i="1" l="1"/>
  <c r="C105" i="1"/>
  <c r="D105" i="1" l="1"/>
  <c r="B106" i="1" l="1"/>
  <c r="C106" i="1" s="1"/>
  <c r="D106" i="1"/>
  <c r="B107" i="1" l="1"/>
  <c r="D107" i="1"/>
  <c r="C107" i="1"/>
  <c r="B108" i="1" l="1"/>
  <c r="C108" i="1" s="1"/>
  <c r="D108" i="1" l="1"/>
  <c r="B109" i="1" l="1"/>
  <c r="C109" i="1" s="1"/>
  <c r="D109" i="1"/>
  <c r="B110" i="1" l="1"/>
  <c r="C110" i="1" s="1"/>
  <c r="D110" i="1" l="1"/>
  <c r="B111" i="1" l="1"/>
  <c r="C111" i="1" s="1"/>
  <c r="D111" i="1" s="1"/>
  <c r="B112" i="1" l="1"/>
  <c r="C112" i="1"/>
  <c r="D112" i="1" l="1"/>
  <c r="B113" i="1" l="1"/>
  <c r="C113" i="1" s="1"/>
  <c r="D113" i="1"/>
  <c r="B114" i="1" l="1"/>
  <c r="C114" i="1"/>
  <c r="D114" i="1" l="1"/>
  <c r="B115" i="1" l="1"/>
  <c r="C115" i="1" s="1"/>
  <c r="D115" i="1"/>
  <c r="B116" i="1" l="1"/>
  <c r="C116" i="1" s="1"/>
  <c r="D116" i="1" l="1"/>
  <c r="B117" i="1" l="1"/>
  <c r="C117" i="1" s="1"/>
  <c r="D117" i="1"/>
  <c r="B118" i="1" l="1"/>
  <c r="D118" i="1"/>
  <c r="C118" i="1"/>
  <c r="B119" i="1" l="1"/>
  <c r="C119" i="1"/>
  <c r="D119" i="1" l="1"/>
  <c r="B120" i="1" l="1"/>
  <c r="C120" i="1" s="1"/>
  <c r="C121" i="1" s="1"/>
  <c r="D120" i="1" l="1"/>
</calcChain>
</file>

<file path=xl/sharedStrings.xml><?xml version="1.0" encoding="utf-8"?>
<sst xmlns="http://schemas.openxmlformats.org/spreadsheetml/2006/main" count="4" uniqueCount="4">
  <si>
    <t>Проценты`/оновной долг</t>
  </si>
  <si>
    <t>Первый взнос</t>
  </si>
  <si>
    <t>120 месяцев по 40 000</t>
  </si>
  <si>
    <t>Сумма кредита - уплаченные взносы без учета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</si>
</sst>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charset val="204"/>
      <scheme val="minor"/>
    </font>
    <font>
      <sz val="18"/>
      <color theme="1"/>
      <name val="Calibri"/>
      <family val="2"/>
      <charset val="204"/>
      <scheme val="minor"/>
    </font>
    <font>
      <sz val="14"/>
      <color theme="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2" borderId="0" xfId="0" applyFont="1" applyFill="1"/>
    <xf numFmtId="0" fontId="1" fillId="0" borderId="0" xfId="0" applyFont="1" applyFill="1"/>
    <xf numFmtId="0" fontId="1" fillId="3" borderId="0" xfId="0" applyFont="1" applyFill="1"/>
    <xf numFmtId="0" fontId="2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7D3250-CC51-7443-8746-8189A33D7ED1}">
  <dimension ref="A1:E123"/>
  <sheetViews>
    <sheetView tabSelected="1" topLeftCell="B80" workbookViewId="0">
      <selection activeCell="D1" sqref="D1"/>
    </sheetView>
  </sheetViews>
  <sheetFormatPr baseColWidth="10" defaultRowHeight="16" x14ac:dyDescent="0.2"/>
  <cols>
    <col min="1" max="2" width="22.6640625" customWidth="1"/>
    <col min="3" max="3" width="20.83203125" customWidth="1"/>
    <col min="4" max="4" width="18.5" customWidth="1"/>
    <col min="5" max="5" width="32" customWidth="1"/>
  </cols>
  <sheetData>
    <row r="1" spans="1:4" x14ac:dyDescent="0.2">
      <c r="A1">
        <v>1</v>
      </c>
      <c r="B1">
        <f>3500000/100*(10/12)</f>
        <v>29166.666666666668</v>
      </c>
      <c r="C1">
        <f>40000-B1</f>
        <v>10833.333333333332</v>
      </c>
      <c r="D1">
        <f>3500000-C1</f>
        <v>3489166.6666666665</v>
      </c>
    </row>
    <row r="2" spans="1:4" x14ac:dyDescent="0.2">
      <c r="A2">
        <f>A1+1</f>
        <v>2</v>
      </c>
      <c r="B2">
        <f>((3500000-C1)/100)*(10/12)</f>
        <v>29076.388888888887</v>
      </c>
      <c r="C2">
        <f t="shared" ref="C2:C65" si="0">40000-B2</f>
        <v>10923.611111111113</v>
      </c>
      <c r="D2">
        <f>D1-C2</f>
        <v>3478243.0555555555</v>
      </c>
    </row>
    <row r="3" spans="1:4" x14ac:dyDescent="0.2">
      <c r="A3">
        <f t="shared" ref="A3:A66" si="1">A2+1</f>
        <v>3</v>
      </c>
      <c r="B3">
        <f>((D2-C2)/100)*(10/12)</f>
        <v>28894.328703703704</v>
      </c>
      <c r="C3">
        <f t="shared" si="0"/>
        <v>11105.671296296296</v>
      </c>
      <c r="D3">
        <f t="shared" ref="D3:D66" si="2">D2-C3</f>
        <v>3467137.3842592593</v>
      </c>
    </row>
    <row r="4" spans="1:4" x14ac:dyDescent="0.2">
      <c r="A4">
        <f t="shared" si="1"/>
        <v>4</v>
      </c>
      <c r="B4">
        <f t="shared" ref="B4:B67" si="3">((D3-C3)/100)*(10/12)</f>
        <v>28800.264274691363</v>
      </c>
      <c r="C4">
        <f t="shared" si="0"/>
        <v>11199.735725308637</v>
      </c>
      <c r="D4">
        <f t="shared" si="2"/>
        <v>3455937.6485339506</v>
      </c>
    </row>
    <row r="5" spans="1:4" x14ac:dyDescent="0.2">
      <c r="A5">
        <f t="shared" si="1"/>
        <v>5</v>
      </c>
      <c r="B5">
        <f t="shared" si="3"/>
        <v>28706.14927340535</v>
      </c>
      <c r="C5">
        <f t="shared" si="0"/>
        <v>11293.85072659465</v>
      </c>
      <c r="D5">
        <f t="shared" si="2"/>
        <v>3444643.7978073559</v>
      </c>
    </row>
    <row r="6" spans="1:4" x14ac:dyDescent="0.2">
      <c r="A6">
        <f t="shared" si="1"/>
        <v>6</v>
      </c>
      <c r="B6">
        <f t="shared" si="3"/>
        <v>28611.249559006344</v>
      </c>
      <c r="C6">
        <f t="shared" si="0"/>
        <v>11388.750440993656</v>
      </c>
      <c r="D6">
        <f t="shared" si="2"/>
        <v>3433255.0473663621</v>
      </c>
    </row>
    <row r="7" spans="1:4" x14ac:dyDescent="0.2">
      <c r="A7">
        <f t="shared" si="1"/>
        <v>7</v>
      </c>
      <c r="B7">
        <f t="shared" si="3"/>
        <v>28515.55247437807</v>
      </c>
      <c r="C7">
        <f t="shared" si="0"/>
        <v>11484.44752562193</v>
      </c>
      <c r="D7">
        <f t="shared" si="2"/>
        <v>3421770.5998407402</v>
      </c>
    </row>
    <row r="8" spans="1:4" x14ac:dyDescent="0.2">
      <c r="A8">
        <f t="shared" si="1"/>
        <v>8</v>
      </c>
      <c r="B8">
        <f t="shared" si="3"/>
        <v>28419.051269292657</v>
      </c>
      <c r="C8">
        <f t="shared" si="0"/>
        <v>11580.948730707343</v>
      </c>
      <c r="D8">
        <f t="shared" si="2"/>
        <v>3410189.651110033</v>
      </c>
    </row>
    <row r="9" spans="1:4" x14ac:dyDescent="0.2">
      <c r="A9">
        <f t="shared" si="1"/>
        <v>9</v>
      </c>
      <c r="B9">
        <f t="shared" si="3"/>
        <v>28321.739186494386</v>
      </c>
      <c r="C9">
        <f t="shared" si="0"/>
        <v>11678.260813505614</v>
      </c>
      <c r="D9">
        <f t="shared" si="2"/>
        <v>3398511.3902965277</v>
      </c>
    </row>
    <row r="10" spans="1:4" x14ac:dyDescent="0.2">
      <c r="A10">
        <f t="shared" si="1"/>
        <v>10</v>
      </c>
      <c r="B10">
        <f t="shared" si="3"/>
        <v>28223.609412358517</v>
      </c>
      <c r="C10">
        <f t="shared" si="0"/>
        <v>11776.390587641483</v>
      </c>
      <c r="D10">
        <f t="shared" si="2"/>
        <v>3386734.9997088863</v>
      </c>
    </row>
    <row r="11" spans="1:4" x14ac:dyDescent="0.2">
      <c r="A11">
        <f t="shared" si="1"/>
        <v>11</v>
      </c>
      <c r="B11">
        <f t="shared" si="3"/>
        <v>28124.655076010375</v>
      </c>
      <c r="C11">
        <f t="shared" si="0"/>
        <v>11875.344923989625</v>
      </c>
      <c r="D11">
        <f t="shared" si="2"/>
        <v>3374859.6547848964</v>
      </c>
    </row>
    <row r="12" spans="1:4" x14ac:dyDescent="0.2">
      <c r="A12">
        <f t="shared" si="1"/>
        <v>12</v>
      </c>
      <c r="B12">
        <f t="shared" si="3"/>
        <v>28024.869248840892</v>
      </c>
      <c r="C12">
        <f t="shared" si="0"/>
        <v>11975.130751159108</v>
      </c>
      <c r="D12">
        <f t="shared" si="2"/>
        <v>3362884.5240337374</v>
      </c>
    </row>
    <row r="13" spans="1:4" x14ac:dyDescent="0.2">
      <c r="A13">
        <f t="shared" si="1"/>
        <v>13</v>
      </c>
      <c r="B13">
        <f t="shared" si="3"/>
        <v>27924.244944021484</v>
      </c>
      <c r="C13">
        <f t="shared" si="0"/>
        <v>12075.755055978516</v>
      </c>
      <c r="D13">
        <f t="shared" si="2"/>
        <v>3350808.7689777589</v>
      </c>
    </row>
    <row r="14" spans="1:4" x14ac:dyDescent="0.2">
      <c r="A14">
        <f t="shared" si="1"/>
        <v>14</v>
      </c>
      <c r="B14">
        <f t="shared" si="3"/>
        <v>27822.775116014836</v>
      </c>
      <c r="C14">
        <f t="shared" si="0"/>
        <v>12177.224883985164</v>
      </c>
      <c r="D14">
        <f t="shared" si="2"/>
        <v>3338631.5440937737</v>
      </c>
    </row>
    <row r="15" spans="1:4" x14ac:dyDescent="0.2">
      <c r="A15">
        <f t="shared" si="1"/>
        <v>15</v>
      </c>
      <c r="B15">
        <f t="shared" si="3"/>
        <v>27720.452660081573</v>
      </c>
      <c r="C15">
        <f t="shared" si="0"/>
        <v>12279.547339918427</v>
      </c>
      <c r="D15">
        <f t="shared" si="2"/>
        <v>3326351.9967538551</v>
      </c>
    </row>
    <row r="16" spans="1:4" x14ac:dyDescent="0.2">
      <c r="A16">
        <f t="shared" si="1"/>
        <v>16</v>
      </c>
      <c r="B16">
        <f t="shared" si="3"/>
        <v>27617.270411782807</v>
      </c>
      <c r="C16">
        <f t="shared" si="0"/>
        <v>12382.729588217193</v>
      </c>
      <c r="D16">
        <f t="shared" si="2"/>
        <v>3313969.267165638</v>
      </c>
    </row>
    <row r="17" spans="1:4" x14ac:dyDescent="0.2">
      <c r="A17">
        <f t="shared" si="1"/>
        <v>17</v>
      </c>
      <c r="B17">
        <f t="shared" si="3"/>
        <v>27513.221146478507</v>
      </c>
      <c r="C17">
        <f t="shared" si="0"/>
        <v>12486.778853521493</v>
      </c>
      <c r="D17">
        <f t="shared" si="2"/>
        <v>3301482.4883121164</v>
      </c>
    </row>
    <row r="18" spans="1:4" x14ac:dyDescent="0.2">
      <c r="A18">
        <f t="shared" si="1"/>
        <v>18</v>
      </c>
      <c r="B18">
        <f t="shared" si="3"/>
        <v>27408.297578821621</v>
      </c>
      <c r="C18">
        <f t="shared" si="0"/>
        <v>12591.702421178379</v>
      </c>
      <c r="D18">
        <f t="shared" si="2"/>
        <v>3288890.7858909378</v>
      </c>
    </row>
    <row r="19" spans="1:4" x14ac:dyDescent="0.2">
      <c r="A19">
        <f t="shared" si="1"/>
        <v>19</v>
      </c>
      <c r="B19">
        <f t="shared" si="3"/>
        <v>27302.492362247995</v>
      </c>
      <c r="C19">
        <f t="shared" si="0"/>
        <v>12697.507637752005</v>
      </c>
      <c r="D19">
        <f>D18-C19</f>
        <v>3276193.2782531856</v>
      </c>
    </row>
    <row r="20" spans="1:4" x14ac:dyDescent="0.2">
      <c r="A20">
        <f t="shared" si="1"/>
        <v>20</v>
      </c>
      <c r="B20">
        <f t="shared" si="3"/>
        <v>27195.798088461946</v>
      </c>
      <c r="C20">
        <f t="shared" si="0"/>
        <v>12804.201911538054</v>
      </c>
      <c r="D20">
        <f t="shared" si="2"/>
        <v>3263389.0763416477</v>
      </c>
    </row>
    <row r="21" spans="1:4" x14ac:dyDescent="0.2">
      <c r="A21">
        <f t="shared" si="1"/>
        <v>21</v>
      </c>
      <c r="B21">
        <f t="shared" si="3"/>
        <v>27088.207286917583</v>
      </c>
      <c r="C21">
        <f t="shared" si="0"/>
        <v>12911.792713082417</v>
      </c>
      <c r="D21">
        <f t="shared" si="2"/>
        <v>3250477.2836285653</v>
      </c>
    </row>
    <row r="22" spans="1:4" x14ac:dyDescent="0.2">
      <c r="A22">
        <f t="shared" si="1"/>
        <v>22</v>
      </c>
      <c r="B22">
        <f t="shared" si="3"/>
        <v>26979.712424295692</v>
      </c>
      <c r="C22">
        <f t="shared" si="0"/>
        <v>13020.287575704308</v>
      </c>
      <c r="D22">
        <f t="shared" si="2"/>
        <v>3237456.9960528607</v>
      </c>
    </row>
    <row r="23" spans="1:4" x14ac:dyDescent="0.2">
      <c r="A23">
        <f t="shared" si="1"/>
        <v>23</v>
      </c>
      <c r="B23">
        <f t="shared" si="3"/>
        <v>26870.305903976303</v>
      </c>
      <c r="C23">
        <f t="shared" si="0"/>
        <v>13129.694096023697</v>
      </c>
      <c r="D23">
        <f t="shared" si="2"/>
        <v>3224327.3019568371</v>
      </c>
    </row>
    <row r="24" spans="1:4" x14ac:dyDescent="0.2">
      <c r="A24">
        <f t="shared" si="1"/>
        <v>24</v>
      </c>
      <c r="B24">
        <f t="shared" si="3"/>
        <v>26759.980065506781</v>
      </c>
      <c r="C24">
        <f t="shared" si="0"/>
        <v>13240.019934493219</v>
      </c>
      <c r="D24">
        <f t="shared" si="2"/>
        <v>3211087.2820223439</v>
      </c>
    </row>
    <row r="25" spans="1:4" x14ac:dyDescent="0.2">
      <c r="A25">
        <f t="shared" si="1"/>
        <v>25</v>
      </c>
      <c r="B25">
        <f t="shared" si="3"/>
        <v>26648.727184065425</v>
      </c>
      <c r="C25">
        <f t="shared" si="0"/>
        <v>13351.272815934575</v>
      </c>
      <c r="D25">
        <f t="shared" si="2"/>
        <v>3197736.0092064096</v>
      </c>
    </row>
    <row r="26" spans="1:4" x14ac:dyDescent="0.2">
      <c r="A26">
        <f t="shared" si="1"/>
        <v>26</v>
      </c>
      <c r="B26">
        <f t="shared" si="3"/>
        <v>26536.539469920626</v>
      </c>
      <c r="C26">
        <f t="shared" si="0"/>
        <v>13463.460530079374</v>
      </c>
      <c r="D26">
        <f t="shared" si="2"/>
        <v>3184272.5486763301</v>
      </c>
    </row>
    <row r="27" spans="1:4" x14ac:dyDescent="0.2">
      <c r="A27">
        <f t="shared" si="1"/>
        <v>27</v>
      </c>
      <c r="B27">
        <f t="shared" si="3"/>
        <v>26423.409067885423</v>
      </c>
      <c r="C27">
        <f t="shared" si="0"/>
        <v>13576.590932114577</v>
      </c>
      <c r="D27">
        <f t="shared" si="2"/>
        <v>3170695.9577442156</v>
      </c>
    </row>
    <row r="28" spans="1:4" x14ac:dyDescent="0.2">
      <c r="A28">
        <f t="shared" si="1"/>
        <v>28</v>
      </c>
      <c r="B28">
        <f t="shared" si="3"/>
        <v>26309.32805676751</v>
      </c>
      <c r="C28">
        <f t="shared" si="0"/>
        <v>13690.67194323249</v>
      </c>
      <c r="D28">
        <f t="shared" si="2"/>
        <v>3157005.2858009832</v>
      </c>
    </row>
    <row r="29" spans="1:4" x14ac:dyDescent="0.2">
      <c r="A29">
        <f t="shared" si="1"/>
        <v>29</v>
      </c>
      <c r="B29">
        <f t="shared" si="3"/>
        <v>26194.28844881459</v>
      </c>
      <c r="C29">
        <f t="shared" si="0"/>
        <v>13805.71155118541</v>
      </c>
      <c r="D29">
        <f t="shared" si="2"/>
        <v>3143199.574249798</v>
      </c>
    </row>
    <row r="30" spans="1:4" x14ac:dyDescent="0.2">
      <c r="A30">
        <f t="shared" si="1"/>
        <v>30</v>
      </c>
      <c r="B30">
        <f t="shared" si="3"/>
        <v>26078.282189155107</v>
      </c>
      <c r="C30">
        <f t="shared" si="0"/>
        <v>13921.717810844893</v>
      </c>
      <c r="D30">
        <f t="shared" si="2"/>
        <v>3129277.856438953</v>
      </c>
    </row>
    <row r="31" spans="1:4" x14ac:dyDescent="0.2">
      <c r="A31">
        <f t="shared" si="1"/>
        <v>31</v>
      </c>
      <c r="B31">
        <f t="shared" si="3"/>
        <v>25961.301155234232</v>
      </c>
      <c r="C31">
        <f t="shared" si="0"/>
        <v>14038.698844765768</v>
      </c>
      <c r="D31">
        <f t="shared" si="2"/>
        <v>3115239.1575941872</v>
      </c>
    </row>
    <row r="32" spans="1:4" x14ac:dyDescent="0.2">
      <c r="A32">
        <f t="shared" si="1"/>
        <v>32</v>
      </c>
      <c r="B32">
        <f t="shared" si="3"/>
        <v>25843.337156245179</v>
      </c>
      <c r="C32">
        <f t="shared" si="0"/>
        <v>14156.662843754821</v>
      </c>
      <c r="D32">
        <f t="shared" si="2"/>
        <v>3101082.4947504322</v>
      </c>
    </row>
    <row r="33" spans="1:4" x14ac:dyDescent="0.2">
      <c r="A33">
        <f t="shared" si="1"/>
        <v>33</v>
      </c>
      <c r="B33">
        <f t="shared" si="3"/>
        <v>25724.381932555643</v>
      </c>
      <c r="C33">
        <f t="shared" si="0"/>
        <v>14275.618067444357</v>
      </c>
      <c r="D33">
        <f t="shared" si="2"/>
        <v>3086806.8766829879</v>
      </c>
    </row>
    <row r="34" spans="1:4" x14ac:dyDescent="0.2">
      <c r="A34">
        <f t="shared" si="1"/>
        <v>34</v>
      </c>
      <c r="B34">
        <f t="shared" si="3"/>
        <v>25604.427155129531</v>
      </c>
      <c r="C34">
        <f t="shared" si="0"/>
        <v>14395.572844870469</v>
      </c>
      <c r="D34">
        <f t="shared" si="2"/>
        <v>3072411.3038381175</v>
      </c>
    </row>
    <row r="35" spans="1:4" x14ac:dyDescent="0.2">
      <c r="A35">
        <f t="shared" si="1"/>
        <v>35</v>
      </c>
      <c r="B35">
        <f t="shared" si="3"/>
        <v>25483.464424943726</v>
      </c>
      <c r="C35">
        <f t="shared" si="0"/>
        <v>14516.535575056274</v>
      </c>
      <c r="D35">
        <f t="shared" si="2"/>
        <v>3057894.7682630611</v>
      </c>
    </row>
    <row r="36" spans="1:4" x14ac:dyDescent="0.2">
      <c r="A36">
        <f t="shared" si="1"/>
        <v>36</v>
      </c>
      <c r="B36">
        <f t="shared" si="3"/>
        <v>25361.485272400038</v>
      </c>
      <c r="C36">
        <f t="shared" si="0"/>
        <v>14638.514727599962</v>
      </c>
      <c r="D36">
        <f t="shared" si="2"/>
        <v>3043256.2535354611</v>
      </c>
    </row>
    <row r="37" spans="1:4" x14ac:dyDescent="0.2">
      <c r="A37">
        <f t="shared" si="1"/>
        <v>37</v>
      </c>
      <c r="B37">
        <f t="shared" si="3"/>
        <v>25238.481156732178</v>
      </c>
      <c r="C37">
        <f t="shared" si="0"/>
        <v>14761.518843267822</v>
      </c>
      <c r="D37">
        <f t="shared" si="2"/>
        <v>3028494.7346921931</v>
      </c>
    </row>
    <row r="38" spans="1:4" x14ac:dyDescent="0.2">
      <c r="A38">
        <f t="shared" si="1"/>
        <v>38</v>
      </c>
      <c r="B38">
        <f t="shared" si="3"/>
        <v>25114.443465407709</v>
      </c>
      <c r="C38">
        <f t="shared" si="0"/>
        <v>14885.556534592291</v>
      </c>
      <c r="D38">
        <f t="shared" si="2"/>
        <v>3013609.178157601</v>
      </c>
    </row>
    <row r="39" spans="1:4" x14ac:dyDescent="0.2">
      <c r="A39">
        <f t="shared" si="1"/>
        <v>39</v>
      </c>
      <c r="B39">
        <f t="shared" si="3"/>
        <v>24989.363513525073</v>
      </c>
      <c r="C39">
        <f t="shared" si="0"/>
        <v>15010.636486474927</v>
      </c>
      <c r="D39">
        <f t="shared" si="2"/>
        <v>2998598.5416711261</v>
      </c>
    </row>
    <row r="40" spans="1:4" x14ac:dyDescent="0.2">
      <c r="A40">
        <f t="shared" si="1"/>
        <v>40</v>
      </c>
      <c r="B40">
        <f t="shared" si="3"/>
        <v>24863.232543205428</v>
      </c>
      <c r="C40">
        <f t="shared" si="0"/>
        <v>15136.767456794572</v>
      </c>
      <c r="D40">
        <f t="shared" si="2"/>
        <v>2983461.7742143315</v>
      </c>
    </row>
    <row r="41" spans="1:4" x14ac:dyDescent="0.2">
      <c r="A41">
        <f t="shared" si="1"/>
        <v>41</v>
      </c>
      <c r="B41">
        <f t="shared" si="3"/>
        <v>24736.041722979477</v>
      </c>
      <c r="C41">
        <f t="shared" si="0"/>
        <v>15263.958277020523</v>
      </c>
      <c r="D41">
        <f t="shared" si="2"/>
        <v>2968197.8159373109</v>
      </c>
    </row>
    <row r="42" spans="1:4" x14ac:dyDescent="0.2">
      <c r="A42">
        <f t="shared" si="1"/>
        <v>42</v>
      </c>
      <c r="B42">
        <f t="shared" si="3"/>
        <v>24607.782147169088</v>
      </c>
      <c r="C42">
        <f t="shared" si="0"/>
        <v>15392.217852830912</v>
      </c>
      <c r="D42">
        <f t="shared" si="2"/>
        <v>2952805.59808448</v>
      </c>
    </row>
    <row r="43" spans="1:4" x14ac:dyDescent="0.2">
      <c r="A43">
        <f t="shared" si="1"/>
        <v>43</v>
      </c>
      <c r="B43">
        <f t="shared" si="3"/>
        <v>24478.444835263741</v>
      </c>
      <c r="C43">
        <f t="shared" si="0"/>
        <v>15521.555164736259</v>
      </c>
      <c r="D43">
        <f t="shared" si="2"/>
        <v>2937284.0429197438</v>
      </c>
    </row>
    <row r="44" spans="1:4" x14ac:dyDescent="0.2">
      <c r="A44">
        <f t="shared" si="1"/>
        <v>44</v>
      </c>
      <c r="B44">
        <f t="shared" si="3"/>
        <v>24348.02073129173</v>
      </c>
      <c r="C44">
        <f t="shared" si="0"/>
        <v>15651.97926870827</v>
      </c>
      <c r="D44">
        <f t="shared" si="2"/>
        <v>2921632.0636510355</v>
      </c>
    </row>
    <row r="45" spans="1:4" x14ac:dyDescent="0.2">
      <c r="A45">
        <f t="shared" si="1"/>
        <v>45</v>
      </c>
      <c r="B45">
        <f t="shared" si="3"/>
        <v>24216.500703186062</v>
      </c>
      <c r="C45">
        <f t="shared" si="0"/>
        <v>15783.499296813938</v>
      </c>
      <c r="D45">
        <f t="shared" si="2"/>
        <v>2905848.5643542218</v>
      </c>
    </row>
    <row r="46" spans="1:4" x14ac:dyDescent="0.2">
      <c r="A46">
        <f t="shared" si="1"/>
        <v>46</v>
      </c>
      <c r="B46">
        <f t="shared" si="3"/>
        <v>24083.875542145066</v>
      </c>
      <c r="C46">
        <f t="shared" si="0"/>
        <v>15916.124457854934</v>
      </c>
      <c r="D46">
        <f t="shared" si="2"/>
        <v>2889932.439896367</v>
      </c>
    </row>
    <row r="47" spans="1:4" x14ac:dyDescent="0.2">
      <c r="A47">
        <f t="shared" si="1"/>
        <v>47</v>
      </c>
      <c r="B47">
        <f t="shared" si="3"/>
        <v>23950.135961987602</v>
      </c>
      <c r="C47">
        <f t="shared" si="0"/>
        <v>16049.864038012398</v>
      </c>
      <c r="D47">
        <f t="shared" si="2"/>
        <v>2873882.5758583546</v>
      </c>
    </row>
    <row r="48" spans="1:4" x14ac:dyDescent="0.2">
      <c r="A48">
        <f t="shared" si="1"/>
        <v>48</v>
      </c>
      <c r="B48">
        <f t="shared" si="3"/>
        <v>23815.272598502852</v>
      </c>
      <c r="C48">
        <f t="shared" si="0"/>
        <v>16184.727401497148</v>
      </c>
      <c r="D48">
        <f t="shared" si="2"/>
        <v>2857697.8484568573</v>
      </c>
    </row>
    <row r="49" spans="1:4" x14ac:dyDescent="0.2">
      <c r="A49">
        <f t="shared" si="1"/>
        <v>49</v>
      </c>
      <c r="B49">
        <f t="shared" si="3"/>
        <v>23679.276008794666</v>
      </c>
      <c r="C49">
        <f t="shared" si="0"/>
        <v>16320.723991205334</v>
      </c>
      <c r="D49">
        <f t="shared" si="2"/>
        <v>2841377.1244656518</v>
      </c>
    </row>
    <row r="50" spans="1:4" x14ac:dyDescent="0.2">
      <c r="A50">
        <f t="shared" si="1"/>
        <v>50</v>
      </c>
      <c r="B50">
        <f t="shared" si="3"/>
        <v>23542.136670620388</v>
      </c>
      <c r="C50">
        <f t="shared" si="0"/>
        <v>16457.863329379612</v>
      </c>
      <c r="D50">
        <f t="shared" si="2"/>
        <v>2824919.261136272</v>
      </c>
    </row>
    <row r="51" spans="1:4" x14ac:dyDescent="0.2">
      <c r="A51">
        <f t="shared" si="1"/>
        <v>51</v>
      </c>
      <c r="B51">
        <f t="shared" si="3"/>
        <v>23403.844981724102</v>
      </c>
      <c r="C51">
        <f t="shared" si="0"/>
        <v>16596.155018275898</v>
      </c>
      <c r="D51">
        <f t="shared" si="2"/>
        <v>2808323.1061179959</v>
      </c>
    </row>
    <row r="52" spans="1:4" x14ac:dyDescent="0.2">
      <c r="A52">
        <f t="shared" si="1"/>
        <v>52</v>
      </c>
      <c r="B52">
        <f t="shared" si="3"/>
        <v>23264.391259164331</v>
      </c>
      <c r="C52">
        <f t="shared" si="0"/>
        <v>16735.608740835669</v>
      </c>
      <c r="D52">
        <f t="shared" si="2"/>
        <v>2791587.4973771605</v>
      </c>
    </row>
    <row r="53" spans="1:4" x14ac:dyDescent="0.2">
      <c r="A53">
        <f t="shared" si="1"/>
        <v>53</v>
      </c>
      <c r="B53">
        <f t="shared" si="3"/>
        <v>23123.765738636044</v>
      </c>
      <c r="C53">
        <f t="shared" si="0"/>
        <v>16876.234261363956</v>
      </c>
      <c r="D53">
        <f t="shared" si="2"/>
        <v>2774711.2631157967</v>
      </c>
    </row>
    <row r="54" spans="1:4" x14ac:dyDescent="0.2">
      <c r="A54">
        <f t="shared" si="1"/>
        <v>54</v>
      </c>
      <c r="B54">
        <f t="shared" si="3"/>
        <v>22981.958573786942</v>
      </c>
      <c r="C54">
        <f t="shared" si="0"/>
        <v>17018.041426213058</v>
      </c>
      <c r="D54">
        <f t="shared" si="2"/>
        <v>2757693.2216895837</v>
      </c>
    </row>
    <row r="55" spans="1:4" x14ac:dyDescent="0.2">
      <c r="A55">
        <f t="shared" si="1"/>
        <v>55</v>
      </c>
      <c r="B55">
        <f t="shared" si="3"/>
        <v>22838.95983552809</v>
      </c>
      <c r="C55">
        <f t="shared" si="0"/>
        <v>17161.04016447191</v>
      </c>
      <c r="D55">
        <f t="shared" si="2"/>
        <v>2740532.1815251117</v>
      </c>
    </row>
    <row r="56" spans="1:4" x14ac:dyDescent="0.2">
      <c r="A56">
        <f t="shared" si="1"/>
        <v>56</v>
      </c>
      <c r="B56">
        <f t="shared" si="3"/>
        <v>22694.759511338667</v>
      </c>
      <c r="C56">
        <f t="shared" si="0"/>
        <v>17305.240488661333</v>
      </c>
      <c r="D56">
        <f t="shared" si="2"/>
        <v>2723226.9410364502</v>
      </c>
    </row>
    <row r="57" spans="1:4" x14ac:dyDescent="0.2">
      <c r="A57">
        <f t="shared" si="1"/>
        <v>57</v>
      </c>
      <c r="B57">
        <f t="shared" si="3"/>
        <v>22549.347504564907</v>
      </c>
      <c r="C57">
        <f t="shared" si="0"/>
        <v>17450.652495435093</v>
      </c>
      <c r="D57">
        <f t="shared" si="2"/>
        <v>2705776.2885410152</v>
      </c>
    </row>
    <row r="58" spans="1:4" x14ac:dyDescent="0.2">
      <c r="A58">
        <f t="shared" si="1"/>
        <v>58</v>
      </c>
      <c r="B58">
        <f t="shared" si="3"/>
        <v>22402.713633713171</v>
      </c>
      <c r="C58">
        <f t="shared" si="0"/>
        <v>17597.286366286829</v>
      </c>
      <c r="D58">
        <f t="shared" si="2"/>
        <v>2688179.0021747286</v>
      </c>
    </row>
    <row r="59" spans="1:4" x14ac:dyDescent="0.2">
      <c r="A59">
        <f t="shared" si="1"/>
        <v>59</v>
      </c>
      <c r="B59">
        <f t="shared" si="3"/>
        <v>22254.847631737015</v>
      </c>
      <c r="C59">
        <f t="shared" si="0"/>
        <v>17745.152368262985</v>
      </c>
      <c r="D59">
        <f t="shared" si="2"/>
        <v>2670433.8498064657</v>
      </c>
    </row>
    <row r="60" spans="1:4" x14ac:dyDescent="0.2">
      <c r="A60">
        <f t="shared" si="1"/>
        <v>60</v>
      </c>
      <c r="B60">
        <f t="shared" si="3"/>
        <v>22105.739145318359</v>
      </c>
      <c r="C60">
        <f t="shared" si="0"/>
        <v>17894.260854681641</v>
      </c>
      <c r="D60">
        <f t="shared" si="2"/>
        <v>2652539.5889517842</v>
      </c>
    </row>
    <row r="61" spans="1:4" x14ac:dyDescent="0.2">
      <c r="A61">
        <f t="shared" si="1"/>
        <v>61</v>
      </c>
      <c r="B61">
        <f t="shared" si="3"/>
        <v>21955.377734142523</v>
      </c>
      <c r="C61">
        <f t="shared" si="0"/>
        <v>18044.622265857477</v>
      </c>
      <c r="D61">
        <f t="shared" si="2"/>
        <v>2634494.9666859265</v>
      </c>
    </row>
    <row r="62" spans="1:4" x14ac:dyDescent="0.2">
      <c r="A62">
        <f t="shared" si="1"/>
        <v>62</v>
      </c>
      <c r="B62">
        <f t="shared" si="3"/>
        <v>21803.752870167242</v>
      </c>
      <c r="C62">
        <f t="shared" si="0"/>
        <v>18196.247129832758</v>
      </c>
      <c r="D62">
        <f t="shared" si="2"/>
        <v>2616298.7195560937</v>
      </c>
    </row>
    <row r="63" spans="1:4" x14ac:dyDescent="0.2">
      <c r="A63">
        <f t="shared" si="1"/>
        <v>63</v>
      </c>
      <c r="B63">
        <f t="shared" si="3"/>
        <v>21650.853936885505</v>
      </c>
      <c r="C63">
        <f t="shared" si="0"/>
        <v>18349.146063114495</v>
      </c>
      <c r="D63">
        <f t="shared" si="2"/>
        <v>2597949.5734929792</v>
      </c>
    </row>
    <row r="64" spans="1:4" x14ac:dyDescent="0.2">
      <c r="A64">
        <f t="shared" si="1"/>
        <v>64</v>
      </c>
      <c r="B64">
        <f t="shared" si="3"/>
        <v>21496.670228582207</v>
      </c>
      <c r="C64">
        <f t="shared" si="0"/>
        <v>18503.329771417793</v>
      </c>
      <c r="D64">
        <f t="shared" si="2"/>
        <v>2579446.2437215615</v>
      </c>
    </row>
    <row r="65" spans="1:4" x14ac:dyDescent="0.2">
      <c r="A65">
        <f t="shared" si="1"/>
        <v>65</v>
      </c>
      <c r="B65">
        <f t="shared" si="3"/>
        <v>21341.190949584532</v>
      </c>
      <c r="C65">
        <f t="shared" si="0"/>
        <v>18658.809050415468</v>
      </c>
      <c r="D65">
        <f t="shared" si="2"/>
        <v>2560787.4346711459</v>
      </c>
    </row>
    <row r="66" spans="1:4" x14ac:dyDescent="0.2">
      <c r="A66">
        <f t="shared" si="1"/>
        <v>66</v>
      </c>
      <c r="B66">
        <f t="shared" si="3"/>
        <v>21184.405213506085</v>
      </c>
      <c r="C66">
        <f t="shared" ref="C66:C120" si="4">40000-B66</f>
        <v>18815.594786493915</v>
      </c>
      <c r="D66">
        <f t="shared" si="2"/>
        <v>2541971.8398846518</v>
      </c>
    </row>
    <row r="67" spans="1:4" x14ac:dyDescent="0.2">
      <c r="A67">
        <f t="shared" ref="A67:A120" si="5">A66+1</f>
        <v>67</v>
      </c>
      <c r="B67">
        <f t="shared" si="3"/>
        <v>21026.302042484651</v>
      </c>
      <c r="C67">
        <f t="shared" si="4"/>
        <v>18973.697957515349</v>
      </c>
      <c r="D67">
        <f t="shared" ref="D67:D120" si="6">D66-C67</f>
        <v>2522998.1419271366</v>
      </c>
    </row>
    <row r="68" spans="1:4" x14ac:dyDescent="0.2">
      <c r="A68">
        <f t="shared" si="5"/>
        <v>68</v>
      </c>
      <c r="B68">
        <f t="shared" ref="B68:B120" si="7">((D67-C67)/100)*(10/12)</f>
        <v>20866.87036641351</v>
      </c>
      <c r="C68">
        <f t="shared" si="4"/>
        <v>19133.12963358649</v>
      </c>
      <c r="D68">
        <f t="shared" si="6"/>
        <v>2503865.0122935502</v>
      </c>
    </row>
    <row r="69" spans="1:4" x14ac:dyDescent="0.2">
      <c r="A69">
        <f t="shared" si="5"/>
        <v>69</v>
      </c>
      <c r="B69">
        <f t="shared" si="7"/>
        <v>20706.099022166367</v>
      </c>
      <c r="C69">
        <f t="shared" si="4"/>
        <v>19293.900977833633</v>
      </c>
      <c r="D69">
        <f t="shared" si="6"/>
        <v>2484571.1113157165</v>
      </c>
    </row>
    <row r="70" spans="1:4" x14ac:dyDescent="0.2">
      <c r="A70">
        <f t="shared" si="5"/>
        <v>70</v>
      </c>
      <c r="B70">
        <f t="shared" si="7"/>
        <v>20543.976752815692</v>
      </c>
      <c r="C70">
        <f t="shared" si="4"/>
        <v>19456.023247184308</v>
      </c>
      <c r="D70">
        <f t="shared" si="6"/>
        <v>2465115.0880685323</v>
      </c>
    </row>
    <row r="71" spans="1:4" x14ac:dyDescent="0.2">
      <c r="A71">
        <f t="shared" si="5"/>
        <v>71</v>
      </c>
      <c r="B71">
        <f t="shared" si="7"/>
        <v>20380.49220684457</v>
      </c>
      <c r="C71">
        <f t="shared" si="4"/>
        <v>19619.50779315543</v>
      </c>
      <c r="D71">
        <f t="shared" si="6"/>
        <v>2445495.5802753768</v>
      </c>
    </row>
    <row r="72" spans="1:4" x14ac:dyDescent="0.2">
      <c r="A72">
        <f t="shared" si="5"/>
        <v>72</v>
      </c>
      <c r="B72">
        <f t="shared" si="7"/>
        <v>20215.633937351846</v>
      </c>
      <c r="C72">
        <f t="shared" si="4"/>
        <v>19784.366062648154</v>
      </c>
      <c r="D72">
        <f t="shared" si="6"/>
        <v>2425711.2142127287</v>
      </c>
    </row>
    <row r="73" spans="1:4" x14ac:dyDescent="0.2">
      <c r="A73">
        <f t="shared" si="5"/>
        <v>73</v>
      </c>
      <c r="B73">
        <f t="shared" si="7"/>
        <v>20049.390401250672</v>
      </c>
      <c r="C73">
        <f t="shared" si="4"/>
        <v>19950.609598749328</v>
      </c>
      <c r="D73">
        <f t="shared" si="6"/>
        <v>2405760.6046139793</v>
      </c>
    </row>
    <row r="74" spans="1:4" x14ac:dyDescent="0.2">
      <c r="A74">
        <f t="shared" si="5"/>
        <v>74</v>
      </c>
      <c r="B74">
        <f t="shared" si="7"/>
        <v>19881.749958460252</v>
      </c>
      <c r="C74">
        <f t="shared" si="4"/>
        <v>20118.250041539748</v>
      </c>
      <c r="D74">
        <f t="shared" si="6"/>
        <v>2385642.3545724396</v>
      </c>
    </row>
    <row r="75" spans="1:4" x14ac:dyDescent="0.2">
      <c r="A75">
        <f t="shared" si="5"/>
        <v>75</v>
      </c>
      <c r="B75">
        <f t="shared" si="7"/>
        <v>19712.700871090834</v>
      </c>
      <c r="C75">
        <f t="shared" si="4"/>
        <v>20287.299128909166</v>
      </c>
      <c r="D75">
        <f t="shared" si="6"/>
        <v>2365355.0554435304</v>
      </c>
    </row>
    <row r="76" spans="1:4" x14ac:dyDescent="0.2">
      <c r="A76">
        <f t="shared" si="5"/>
        <v>76</v>
      </c>
      <c r="B76">
        <f t="shared" si="7"/>
        <v>19542.231302621843</v>
      </c>
      <c r="C76">
        <f t="shared" si="4"/>
        <v>20457.768697378157</v>
      </c>
      <c r="D76">
        <f t="shared" si="6"/>
        <v>2344897.2867461522</v>
      </c>
    </row>
    <row r="77" spans="1:4" x14ac:dyDescent="0.2">
      <c r="A77">
        <f t="shared" si="5"/>
        <v>77</v>
      </c>
      <c r="B77">
        <f t="shared" si="7"/>
        <v>19370.329317073116</v>
      </c>
      <c r="C77">
        <f t="shared" si="4"/>
        <v>20629.670682926884</v>
      </c>
      <c r="D77">
        <f t="shared" si="6"/>
        <v>2324267.6160632255</v>
      </c>
    </row>
    <row r="78" spans="1:4" x14ac:dyDescent="0.2">
      <c r="A78">
        <f t="shared" si="5"/>
        <v>78</v>
      </c>
      <c r="B78">
        <f t="shared" si="7"/>
        <v>19196.982878169161</v>
      </c>
      <c r="C78">
        <f t="shared" si="4"/>
        <v>20803.017121830839</v>
      </c>
      <c r="D78">
        <f t="shared" si="6"/>
        <v>2303464.5989413946</v>
      </c>
    </row>
    <row r="79" spans="1:4" x14ac:dyDescent="0.2">
      <c r="A79">
        <f t="shared" si="5"/>
        <v>79</v>
      </c>
      <c r="B79">
        <f t="shared" si="7"/>
        <v>19022.179848496366</v>
      </c>
      <c r="C79">
        <f t="shared" si="4"/>
        <v>20977.820151503634</v>
      </c>
      <c r="D79">
        <f t="shared" si="6"/>
        <v>2282486.7787898909</v>
      </c>
    </row>
    <row r="80" spans="1:4" x14ac:dyDescent="0.2">
      <c r="A80">
        <f t="shared" si="5"/>
        <v>80</v>
      </c>
      <c r="B80">
        <f t="shared" si="7"/>
        <v>18845.907988653231</v>
      </c>
      <c r="C80">
        <f t="shared" si="4"/>
        <v>21154.092011346769</v>
      </c>
      <c r="D80">
        <f t="shared" si="6"/>
        <v>2261332.686778544</v>
      </c>
    </row>
    <row r="81" spans="1:4" x14ac:dyDescent="0.2">
      <c r="A81">
        <f t="shared" si="5"/>
        <v>81</v>
      </c>
      <c r="B81">
        <f t="shared" si="7"/>
        <v>18668.154956393311</v>
      </c>
      <c r="C81">
        <f t="shared" si="4"/>
        <v>21331.845043606689</v>
      </c>
      <c r="D81">
        <f t="shared" si="6"/>
        <v>2240000.8417349374</v>
      </c>
    </row>
    <row r="82" spans="1:4" x14ac:dyDescent="0.2">
      <c r="A82">
        <f t="shared" si="5"/>
        <v>82</v>
      </c>
      <c r="B82">
        <f t="shared" si="7"/>
        <v>18488.908305761091</v>
      </c>
      <c r="C82">
        <f t="shared" si="4"/>
        <v>21511.091694238909</v>
      </c>
      <c r="D82">
        <f t="shared" si="6"/>
        <v>2218489.7500406983</v>
      </c>
    </row>
    <row r="83" spans="1:4" x14ac:dyDescent="0.2">
      <c r="A83">
        <f t="shared" si="5"/>
        <v>83</v>
      </c>
      <c r="B83">
        <f t="shared" si="7"/>
        <v>18308.155486220494</v>
      </c>
      <c r="C83">
        <f t="shared" si="4"/>
        <v>21691.844513779506</v>
      </c>
      <c r="D83">
        <f t="shared" si="6"/>
        <v>2196797.9055269188</v>
      </c>
    </row>
    <row r="84" spans="1:4" x14ac:dyDescent="0.2">
      <c r="A84">
        <f t="shared" si="5"/>
        <v>84</v>
      </c>
      <c r="B84">
        <f t="shared" si="7"/>
        <v>18125.883841776162</v>
      </c>
      <c r="C84">
        <f t="shared" si="4"/>
        <v>21874.116158223838</v>
      </c>
      <c r="D84">
        <f t="shared" si="6"/>
        <v>2174923.7893686951</v>
      </c>
    </row>
    <row r="85" spans="1:4" x14ac:dyDescent="0.2">
      <c r="A85">
        <f t="shared" si="5"/>
        <v>85</v>
      </c>
      <c r="B85">
        <f t="shared" si="7"/>
        <v>17942.080610087265</v>
      </c>
      <c r="C85">
        <f t="shared" si="4"/>
        <v>22057.919389912735</v>
      </c>
      <c r="D85">
        <f t="shared" si="6"/>
        <v>2152865.8699787823</v>
      </c>
    </row>
    <row r="86" spans="1:4" x14ac:dyDescent="0.2">
      <c r="A86">
        <f t="shared" si="5"/>
        <v>86</v>
      </c>
      <c r="B86">
        <f t="shared" si="7"/>
        <v>17756.732921573912</v>
      </c>
      <c r="C86">
        <f t="shared" si="4"/>
        <v>22243.267078426088</v>
      </c>
      <c r="D86">
        <f t="shared" si="6"/>
        <v>2130622.6029003561</v>
      </c>
    </row>
    <row r="87" spans="1:4" x14ac:dyDescent="0.2">
      <c r="A87">
        <f t="shared" si="5"/>
        <v>87</v>
      </c>
      <c r="B87">
        <f t="shared" si="7"/>
        <v>17569.827798516086</v>
      </c>
      <c r="C87">
        <f t="shared" si="4"/>
        <v>22430.172201483914</v>
      </c>
      <c r="D87">
        <f t="shared" si="6"/>
        <v>2108192.4306988721</v>
      </c>
    </row>
    <row r="88" spans="1:4" x14ac:dyDescent="0.2">
      <c r="A88">
        <f t="shared" si="5"/>
        <v>88</v>
      </c>
      <c r="B88">
        <f t="shared" si="7"/>
        <v>17381.352154144901</v>
      </c>
      <c r="C88">
        <f t="shared" si="4"/>
        <v>22618.647845855099</v>
      </c>
      <c r="D88">
        <f t="shared" si="6"/>
        <v>2085573.7828530171</v>
      </c>
    </row>
    <row r="89" spans="1:4" x14ac:dyDescent="0.2">
      <c r="A89">
        <f t="shared" si="5"/>
        <v>89</v>
      </c>
      <c r="B89">
        <f t="shared" si="7"/>
        <v>17191.292791726351</v>
      </c>
      <c r="C89">
        <f t="shared" si="4"/>
        <v>22808.707208273649</v>
      </c>
      <c r="D89">
        <f t="shared" si="6"/>
        <v>2062765.0756447434</v>
      </c>
    </row>
    <row r="90" spans="1:4" x14ac:dyDescent="0.2">
      <c r="A90">
        <f t="shared" si="5"/>
        <v>90</v>
      </c>
      <c r="B90">
        <f t="shared" si="7"/>
        <v>16999.636403637247</v>
      </c>
      <c r="C90">
        <f t="shared" si="4"/>
        <v>23000.363596362753</v>
      </c>
      <c r="D90">
        <f t="shared" si="6"/>
        <v>2039764.7120483806</v>
      </c>
    </row>
    <row r="91" spans="1:4" x14ac:dyDescent="0.2">
      <c r="A91">
        <f t="shared" si="5"/>
        <v>91</v>
      </c>
      <c r="B91">
        <f t="shared" si="7"/>
        <v>16806.369570433486</v>
      </c>
      <c r="C91">
        <f t="shared" si="4"/>
        <v>23193.630429566514</v>
      </c>
      <c r="D91">
        <f t="shared" si="6"/>
        <v>2016571.081618814</v>
      </c>
    </row>
    <row r="92" spans="1:4" x14ac:dyDescent="0.2">
      <c r="A92">
        <f t="shared" si="5"/>
        <v>92</v>
      </c>
      <c r="B92">
        <f t="shared" si="7"/>
        <v>16611.478759910398</v>
      </c>
      <c r="C92">
        <f t="shared" si="4"/>
        <v>23388.521240089602</v>
      </c>
      <c r="D92">
        <f t="shared" si="6"/>
        <v>1993182.5603787245</v>
      </c>
    </row>
    <row r="93" spans="1:4" x14ac:dyDescent="0.2">
      <c r="A93">
        <f t="shared" si="5"/>
        <v>93</v>
      </c>
      <c r="B93">
        <f t="shared" si="7"/>
        <v>16414.950326155293</v>
      </c>
      <c r="C93">
        <f t="shared" si="4"/>
        <v>23585.049673844707</v>
      </c>
      <c r="D93">
        <f t="shared" si="6"/>
        <v>1969597.5107048799</v>
      </c>
    </row>
    <row r="94" spans="1:4" x14ac:dyDescent="0.2">
      <c r="A94">
        <f t="shared" si="5"/>
        <v>94</v>
      </c>
      <c r="B94">
        <f t="shared" si="7"/>
        <v>16216.770508591961</v>
      </c>
      <c r="C94">
        <f t="shared" si="4"/>
        <v>23783.229491408041</v>
      </c>
      <c r="D94">
        <f t="shared" si="6"/>
        <v>1945814.2812134719</v>
      </c>
    </row>
    <row r="95" spans="1:4" x14ac:dyDescent="0.2">
      <c r="A95">
        <f t="shared" si="5"/>
        <v>95</v>
      </c>
      <c r="B95">
        <f t="shared" si="7"/>
        <v>16016.925431017198</v>
      </c>
      <c r="C95">
        <f t="shared" si="4"/>
        <v>23983.074568982804</v>
      </c>
      <c r="D95">
        <f t="shared" si="6"/>
        <v>1921831.2066444892</v>
      </c>
    </row>
    <row r="96" spans="1:4" x14ac:dyDescent="0.2">
      <c r="A96">
        <f t="shared" si="5"/>
        <v>96</v>
      </c>
      <c r="B96">
        <f t="shared" si="7"/>
        <v>15815.401100629222</v>
      </c>
      <c r="C96">
        <f t="shared" si="4"/>
        <v>24184.59889937078</v>
      </c>
      <c r="D96">
        <f t="shared" si="6"/>
        <v>1897646.6077451184</v>
      </c>
    </row>
    <row r="97" spans="1:4" x14ac:dyDescent="0.2">
      <c r="A97">
        <f t="shared" si="5"/>
        <v>97</v>
      </c>
      <c r="B97">
        <f t="shared" si="7"/>
        <v>15612.183407047896</v>
      </c>
      <c r="C97">
        <f t="shared" si="4"/>
        <v>24387.816592952106</v>
      </c>
      <c r="D97">
        <f t="shared" si="6"/>
        <v>1873258.7911521664</v>
      </c>
    </row>
    <row r="98" spans="1:4" x14ac:dyDescent="0.2">
      <c r="A98">
        <f t="shared" si="5"/>
        <v>98</v>
      </c>
      <c r="B98">
        <f t="shared" si="7"/>
        <v>15407.258121326786</v>
      </c>
      <c r="C98">
        <f t="shared" si="4"/>
        <v>24592.741878673216</v>
      </c>
      <c r="D98">
        <f t="shared" si="6"/>
        <v>1848666.0492734932</v>
      </c>
    </row>
    <row r="99" spans="1:4" x14ac:dyDescent="0.2">
      <c r="A99">
        <f t="shared" si="5"/>
        <v>99</v>
      </c>
      <c r="B99">
        <f t="shared" si="7"/>
        <v>15200.610894956833</v>
      </c>
      <c r="C99">
        <f t="shared" si="4"/>
        <v>24799.389105043167</v>
      </c>
      <c r="D99">
        <f t="shared" si="6"/>
        <v>1823866.6601684501</v>
      </c>
    </row>
    <row r="100" spans="1:4" x14ac:dyDescent="0.2">
      <c r="A100">
        <f t="shared" si="5"/>
        <v>100</v>
      </c>
      <c r="B100">
        <f t="shared" si="7"/>
        <v>14992.227258861725</v>
      </c>
      <c r="C100">
        <f t="shared" si="4"/>
        <v>25007.772741138273</v>
      </c>
      <c r="D100">
        <f t="shared" si="6"/>
        <v>1798858.8874273119</v>
      </c>
    </row>
    <row r="101" spans="1:4" x14ac:dyDescent="0.2">
      <c r="A101">
        <f t="shared" si="5"/>
        <v>101</v>
      </c>
      <c r="B101">
        <f t="shared" si="7"/>
        <v>14782.09262238478</v>
      </c>
      <c r="C101">
        <f t="shared" si="4"/>
        <v>25217.907377615222</v>
      </c>
      <c r="D101">
        <f t="shared" si="6"/>
        <v>1773640.9800496968</v>
      </c>
    </row>
    <row r="102" spans="1:4" x14ac:dyDescent="0.2">
      <c r="A102">
        <f t="shared" si="5"/>
        <v>102</v>
      </c>
      <c r="B102">
        <f t="shared" si="7"/>
        <v>14570.192272267348</v>
      </c>
      <c r="C102">
        <f t="shared" si="4"/>
        <v>25429.807727732652</v>
      </c>
      <c r="D102">
        <f t="shared" si="6"/>
        <v>1748211.1723219641</v>
      </c>
    </row>
    <row r="103" spans="1:4" x14ac:dyDescent="0.2">
      <c r="A103">
        <f t="shared" si="5"/>
        <v>103</v>
      </c>
      <c r="B103">
        <f t="shared" si="7"/>
        <v>14356.511371618597</v>
      </c>
      <c r="C103">
        <f t="shared" si="4"/>
        <v>25643.488628381405</v>
      </c>
      <c r="D103">
        <f t="shared" si="6"/>
        <v>1722567.6836935827</v>
      </c>
    </row>
    <row r="104" spans="1:4" x14ac:dyDescent="0.2">
      <c r="A104">
        <f t="shared" si="5"/>
        <v>104</v>
      </c>
      <c r="B104">
        <f t="shared" si="7"/>
        <v>14141.034958876679</v>
      </c>
      <c r="C104">
        <f t="shared" si="4"/>
        <v>25858.965041123323</v>
      </c>
      <c r="D104">
        <f t="shared" si="6"/>
        <v>1696708.7186524593</v>
      </c>
    </row>
    <row r="105" spans="1:4" x14ac:dyDescent="0.2">
      <c r="A105">
        <f t="shared" si="5"/>
        <v>105</v>
      </c>
      <c r="B105">
        <f t="shared" si="7"/>
        <v>13923.747946761132</v>
      </c>
      <c r="C105">
        <f t="shared" si="4"/>
        <v>26076.252053238866</v>
      </c>
      <c r="D105">
        <f t="shared" si="6"/>
        <v>1670632.4665992204</v>
      </c>
    </row>
    <row r="106" spans="1:4" x14ac:dyDescent="0.2">
      <c r="A106">
        <f t="shared" si="5"/>
        <v>106</v>
      </c>
      <c r="B106">
        <f t="shared" si="7"/>
        <v>13704.635121216514</v>
      </c>
      <c r="C106">
        <f t="shared" si="4"/>
        <v>26295.364878783486</v>
      </c>
      <c r="D106">
        <f t="shared" si="6"/>
        <v>1644337.1017204369</v>
      </c>
    </row>
    <row r="107" spans="1:4" x14ac:dyDescent="0.2">
      <c r="A107">
        <f t="shared" si="5"/>
        <v>107</v>
      </c>
      <c r="B107">
        <f t="shared" si="7"/>
        <v>13483.681140347113</v>
      </c>
      <c r="C107">
        <f t="shared" si="4"/>
        <v>26516.318859652885</v>
      </c>
      <c r="D107">
        <f t="shared" si="6"/>
        <v>1617820.7828607841</v>
      </c>
    </row>
    <row r="108" spans="1:4" x14ac:dyDescent="0.2">
      <c r="A108">
        <f t="shared" si="5"/>
        <v>108</v>
      </c>
      <c r="B108">
        <f t="shared" si="7"/>
        <v>13260.870533342761</v>
      </c>
      <c r="C108">
        <f t="shared" si="4"/>
        <v>26739.129466657239</v>
      </c>
      <c r="D108">
        <f t="shared" si="6"/>
        <v>1591081.6533941268</v>
      </c>
    </row>
    <row r="109" spans="1:4" x14ac:dyDescent="0.2">
      <c r="A109">
        <f t="shared" si="5"/>
        <v>109</v>
      </c>
      <c r="B109">
        <f t="shared" si="7"/>
        <v>13036.187699395579</v>
      </c>
      <c r="C109">
        <f t="shared" si="4"/>
        <v>26963.812300604419</v>
      </c>
      <c r="D109">
        <f t="shared" si="6"/>
        <v>1564117.8410935225</v>
      </c>
    </row>
    <row r="110" spans="1:4" x14ac:dyDescent="0.2">
      <c r="A110">
        <f t="shared" si="5"/>
        <v>110</v>
      </c>
      <c r="B110">
        <f t="shared" si="7"/>
        <v>12809.616906607651</v>
      </c>
      <c r="C110">
        <f t="shared" si="4"/>
        <v>27190.383093392349</v>
      </c>
      <c r="D110">
        <f t="shared" si="6"/>
        <v>1536927.4580001303</v>
      </c>
    </row>
    <row r="111" spans="1:4" x14ac:dyDescent="0.2">
      <c r="A111">
        <f t="shared" si="5"/>
        <v>111</v>
      </c>
      <c r="B111">
        <f t="shared" si="7"/>
        <v>12581.142290889484</v>
      </c>
      <c r="C111">
        <f t="shared" si="4"/>
        <v>27418.857709110518</v>
      </c>
      <c r="D111">
        <f t="shared" si="6"/>
        <v>1509508.6002910198</v>
      </c>
    </row>
    <row r="112" spans="1:4" x14ac:dyDescent="0.2">
      <c r="A112">
        <f t="shared" si="5"/>
        <v>112</v>
      </c>
      <c r="B112">
        <f t="shared" si="7"/>
        <v>12350.747854849245</v>
      </c>
      <c r="C112">
        <f t="shared" si="4"/>
        <v>27649.252145150756</v>
      </c>
      <c r="D112">
        <f t="shared" si="6"/>
        <v>1481859.3481458691</v>
      </c>
    </row>
    <row r="113" spans="1:5" x14ac:dyDescent="0.2">
      <c r="A113">
        <f t="shared" si="5"/>
        <v>113</v>
      </c>
      <c r="B113">
        <f t="shared" si="7"/>
        <v>12118.417466672654</v>
      </c>
      <c r="C113">
        <f t="shared" si="4"/>
        <v>27881.582533327346</v>
      </c>
      <c r="D113">
        <f t="shared" si="6"/>
        <v>1453977.7656125417</v>
      </c>
    </row>
    <row r="114" spans="1:5" x14ac:dyDescent="0.2">
      <c r="A114">
        <f t="shared" si="5"/>
        <v>114</v>
      </c>
      <c r="B114">
        <f t="shared" si="7"/>
        <v>11884.134858993453</v>
      </c>
      <c r="C114">
        <f t="shared" si="4"/>
        <v>28115.865141006547</v>
      </c>
      <c r="D114">
        <f t="shared" si="6"/>
        <v>1425861.900471535</v>
      </c>
    </row>
    <row r="115" spans="1:5" x14ac:dyDescent="0.2">
      <c r="A115">
        <f t="shared" si="5"/>
        <v>115</v>
      </c>
      <c r="B115">
        <f t="shared" si="7"/>
        <v>11647.883627754403</v>
      </c>
      <c r="C115">
        <f t="shared" si="4"/>
        <v>28352.116372245597</v>
      </c>
      <c r="D115">
        <f t="shared" si="6"/>
        <v>1397509.7840992894</v>
      </c>
    </row>
    <row r="116" spans="1:5" x14ac:dyDescent="0.2">
      <c r="A116">
        <f t="shared" si="5"/>
        <v>116</v>
      </c>
      <c r="B116">
        <f t="shared" si="7"/>
        <v>11409.6472310587</v>
      </c>
      <c r="C116">
        <f t="shared" si="4"/>
        <v>28590.352768941302</v>
      </c>
      <c r="D116">
        <f t="shared" si="6"/>
        <v>1368919.4313303481</v>
      </c>
    </row>
    <row r="117" spans="1:5" x14ac:dyDescent="0.2">
      <c r="A117">
        <f t="shared" si="5"/>
        <v>117</v>
      </c>
      <c r="B117">
        <f t="shared" si="7"/>
        <v>11169.408988011724</v>
      </c>
      <c r="C117">
        <f t="shared" si="4"/>
        <v>28830.591011988276</v>
      </c>
      <c r="D117">
        <f t="shared" si="6"/>
        <v>1340088.8403183599</v>
      </c>
    </row>
    <row r="118" spans="1:5" x14ac:dyDescent="0.2">
      <c r="A118">
        <f t="shared" si="5"/>
        <v>118</v>
      </c>
      <c r="B118">
        <f t="shared" si="7"/>
        <v>10927.152077553099</v>
      </c>
      <c r="C118">
        <f t="shared" si="4"/>
        <v>29072.847922446901</v>
      </c>
      <c r="D118">
        <f t="shared" si="6"/>
        <v>1311015.992395913</v>
      </c>
    </row>
    <row r="119" spans="1:5" x14ac:dyDescent="0.2">
      <c r="A119">
        <f t="shared" si="5"/>
        <v>119</v>
      </c>
      <c r="B119">
        <f t="shared" si="7"/>
        <v>10682.859537278884</v>
      </c>
      <c r="C119">
        <f t="shared" si="4"/>
        <v>29317.140462721116</v>
      </c>
      <c r="D119">
        <f t="shared" si="6"/>
        <v>1281698.851933192</v>
      </c>
    </row>
    <row r="120" spans="1:5" ht="24" x14ac:dyDescent="0.3">
      <c r="A120">
        <f t="shared" si="5"/>
        <v>120</v>
      </c>
      <c r="B120">
        <f t="shared" si="7"/>
        <v>10436.514262253922</v>
      </c>
      <c r="C120">
        <f t="shared" si="4"/>
        <v>29563.485737746079</v>
      </c>
      <c r="D120" s="2">
        <f t="shared" si="6"/>
        <v>1252135.3661954459</v>
      </c>
      <c r="E120" s="3" t="s">
        <v>3</v>
      </c>
    </row>
    <row r="121" spans="1:5" ht="51" customHeight="1" x14ac:dyDescent="0.3">
      <c r="A121" s="1" t="s">
        <v>0</v>
      </c>
      <c r="B121" s="4">
        <f>SUM(B1:B120)</f>
        <v>2552135.3661954454</v>
      </c>
      <c r="C121" s="4">
        <f>SUM(C1:C120)</f>
        <v>2247864.6338045546</v>
      </c>
      <c r="D121" s="4">
        <f>B121+C121</f>
        <v>4800000</v>
      </c>
      <c r="E121" s="5" t="s">
        <v>2</v>
      </c>
    </row>
    <row r="122" spans="1:5" ht="43" customHeight="1" x14ac:dyDescent="0.3">
      <c r="A122" s="1" t="s">
        <v>1</v>
      </c>
      <c r="C122" s="2">
        <f>3500000-C121</f>
        <v>1252135.3661954454</v>
      </c>
      <c r="D122" s="1"/>
    </row>
    <row r="123" spans="1:5" ht="40" customHeight="1" x14ac:dyDescent="0.3">
      <c r="C12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 Microsoft Office</dc:creator>
  <cp:lastModifiedBy>Пользователь Microsoft Office</cp:lastModifiedBy>
  <dcterms:created xsi:type="dcterms:W3CDTF">2020-10-20T14:27:45Z</dcterms:created>
  <dcterms:modified xsi:type="dcterms:W3CDTF">2020-10-20T16:22:27Z</dcterms:modified>
</cp:coreProperties>
</file>